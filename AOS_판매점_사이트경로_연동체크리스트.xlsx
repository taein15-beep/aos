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bfff01e4f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2638ae7b1180460e"/>
    <x:sheet xmlns:r="http://schemas.openxmlformats.org/officeDocument/2006/relationships" name="사이트경로" sheetId="2" r:id="R285af64331464cff"/>
    <x:sheet xmlns:r="http://schemas.openxmlformats.org/officeDocument/2006/relationships" name="연동체크리스트" sheetId="3" r:id="R154c920572c9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9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  <x:font>
      <x:b/>
      <x:sz val="16"/>
      <x:color rgb="FF203B5C"/>
      <x:name val="Arial"/>
    </x:font>
    <x:font>
      <x:b/>
      <x:sz val="11"/>
      <x:color rgb="FF166534"/>
      <x:name val="Arial"/>
    </x:font>
    <x:font>
      <x:b/>
      <x:sz val="11"/>
      <x:color rgb="FF991B1B"/>
      <x:name val="Arial"/>
    </x:font>
    <x:font>
      <x:b/>
      <x:sz val="11"/>
      <x:color rgb="FF92400E"/>
      <x:name val="Arial"/>
    </x:font>
    <x:font>
      <x:b/>
      <x:sz val="11"/>
      <x:color rgb="FF4B5563"/>
      <x:name val="Arial"/>
    </x:font>
    <x:font>
      <x:b/>
      <x:sz val="11"/>
      <x:color rgb="FF203B5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03B5C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</x:fills>
  <x:borders count="2">
    <x:border>
      <x:left/>
      <x:right/>
      <x:top/>
      <x:bottom/>
      <x:diagonal/>
    </x:border>
    <x:border>
      <x:left style="thin">
        <x:color rgb="FFD5DFE9"/>
      </x:left>
      <x:right style="thin">
        <x:color rgb="FFD5DFE9"/>
      </x:right>
      <x:top style="thin">
        <x:color rgb="FFD5DFE9"/>
      </x:top>
      <x:bottom style="thin">
        <x:color rgb="FFD5DFE9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7ae0a2ea64d89" /><Relationship Type="http://schemas.openxmlformats.org/officeDocument/2006/relationships/theme" Target="/xl/theme/theme1.xml" Id="R7ebffa1023a247f7" /><Relationship Type="http://schemas.openxmlformats.org/officeDocument/2006/relationships/sharedStrings" Target="/xl/sharedStrings.xml" Id="R968e2a09e4f045a1" /><Relationship Type="http://schemas.openxmlformats.org/officeDocument/2006/relationships/worksheet" Target="/xl/worksheets/sheet1.xml" Id="R2638ae7b1180460e" /><Relationship Type="http://schemas.openxmlformats.org/officeDocument/2006/relationships/worksheet" Target="/xl/worksheets/sheet2.xml" Id="R285af64331464cff" /><Relationship Type="http://schemas.openxmlformats.org/officeDocument/2006/relationships/worksheet" Target="/xl/worksheets/sheet3.xml" Id="R154c920572c94826" /></Relationships>
</file>

<file path=xl/tables/table1.xml><?xml version="1.0" encoding="utf-8"?>
<x:table xmlns:x="http://schemas.openxmlformats.org/spreadsheetml/2006/main" id="1" name="SitePaths" displayName="SitePaths" ref="A1:E13" headerRowCount="1" totalsRowCount="0" totalsRowShown="0">
  <x:tableColumns count="5">
    <x:tableColumn id="1" name="구분"/>
    <x:tableColumn id="2" name="화면명"/>
    <x:tableColumn id="3" name="경로"/>
    <x:tableColumn id="4" name="용도/확인내용"/>
    <x:tableColumn id="5" name="로그인정보(필요시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grationChecks" displayName="IntegrationChecks" ref="A1:G81" headerRowCount="1" totalsRowCount="0" totalsRowShown="0">
  <x:tableColumns count="7">
    <x:tableColumn id="1" name="체크"/>
    <x:tableColumn id="2" name="구분"/>
    <x:tableColumn id="3" name="확인항목"/>
    <x:tableColumn id="4" name="공급여행사 관리자에서 확인"/>
    <x:tableColumn id="5" name="판매점 관리자에서 확인"/>
    <x:tableColumn id="6" name="정상기준"/>
    <x:tableColumn id="7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f9f7cb197447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65e9afddc94962" /></Relationships>
</file>

<file path=xl/worksheets/sheet1.xml><?xml version="1.0" encoding="utf-8"?>
<x:worksheet xmlns:x="http://schemas.openxmlformats.org/spreadsheetml/2006/main">
  <x:sheetPr>
    <x:tabColor rgb="FF203B5C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63" hidden="0" customWidth="1"/>
  </x:cols>
  <x:sheetData>
    <x:row r="1">
      <x:c r="A1" s="3"/>
      <x:c r="B1" s="3"/>
      <x:c r="C1" s="3"/>
      <x:c r="D1" s="3"/>
      <x:c r="E1" s="3"/>
      <x:c r="F1" s="3"/>
    </x:row>
    <x:row r="2">
      <x:c r="A2" s="8" t="str">
        <x:v>AOS 판매점 연동 검수 요약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30" customHeight="1">
      <x:c r="A4" s="6" t="str">
        <x:v>지표</x:v>
      </x:c>
      <x:c r="B4" s="6" t="str">
        <x:v>건수 / 비율</x:v>
      </x:c>
      <x:c r="C4" s="6" t="str">
        <x:v>기준</x:v>
      </x:c>
      <x:c r="D4" s="3"/>
      <x:c r="E4" s="3"/>
      <x:c r="F4" s="3"/>
    </x:row>
    <x:row r="5" ht="32" customHeight="1">
      <x:c r="A5" s="4" t="str">
        <x:v>전체</x:v>
      </x:c>
      <x:c r="B5" s="13" t="n">
        <x:f>COUNTA('연동체크리스트'!C2:C81)</x:f>
        <x:v>80</x:v>
      </x:c>
      <x:c r="C5" s="4" t="str">
        <x:v>검수 항목 수</x:v>
      </x:c>
      <x:c r="D5" s="3"/>
      <x:c r="E5" s="3"/>
      <x:c r="F5" s="3"/>
    </x:row>
    <x:row r="6" ht="32" customHeight="1">
      <x:c r="A6" s="16" t="str">
        <x:v>정상</x:v>
      </x:c>
      <x:c r="B6" s="13" t="n">
        <x:f>COUNTIF('연동체크리스트'!A2:A81,"정상")</x:f>
        <x:v>0</x:v>
      </x:c>
      <x:c r="C6" s="4" t="str">
        <x:v>기준 충족</x:v>
      </x:c>
      <x:c r="D6" s="3"/>
      <x:c r="E6" s="3"/>
      <x:c r="F6" s="3"/>
    </x:row>
    <x:row r="7" ht="32" customHeight="1">
      <x:c r="A7" s="18" t="str">
        <x:v>오류</x:v>
      </x:c>
      <x:c r="B7" s="13" t="n">
        <x:f>COUNTIF('연동체크리스트'!A2:A81,"오류")</x:f>
        <x:v>0</x:v>
      </x:c>
      <x:c r="C7" s="4" t="str">
        <x:v>기준 미충족. 비고에 재현 조건 기록</x:v>
      </x:c>
      <x:c r="D7" s="3"/>
      <x:c r="E7" s="3"/>
      <x:c r="F7" s="3"/>
    </x:row>
    <x:row r="8" ht="32" customHeight="1">
      <x:c r="A8" s="20" t="str">
        <x:v>보류</x:v>
      </x:c>
      <x:c r="B8" s="13" t="n">
        <x:f>COUNTIF('연동체크리스트'!A2:A81,"보류")</x:f>
        <x:v>0</x:v>
      </x:c>
      <x:c r="C8" s="4" t="str">
        <x:v>판정 대기. 비고에 사유 기록</x:v>
      </x:c>
      <x:c r="D8" s="3"/>
      <x:c r="E8" s="3"/>
      <x:c r="F8" s="3"/>
    </x:row>
    <x:row r="9" ht="32" customHeight="1">
      <x:c r="A9" s="22" t="str">
        <x:v>미확인</x:v>
      </x:c>
      <x:c r="B9" s="13" t="n">
        <x:f>COUNTIF('연동체크리스트'!A2:A81,"미확인")</x:f>
        <x:v>80</x:v>
      </x:c>
      <x:c r="C9" s="4" t="str">
        <x:v>검수 전</x:v>
      </x:c>
      <x:c r="D9" s="3"/>
      <x:c r="E9" s="3"/>
      <x:c r="F9" s="3"/>
    </x:row>
    <x:row r="10" ht="32" customHeight="1">
      <x:c r="A10" s="4" t="str">
        <x:v>완료율</x:v>
      </x:c>
      <x:c r="B10" s="14" t="n">
        <x:f>IF(B5=0,0,(B6+B7)/B5)</x:f>
        <x:v>0</x:v>
      </x:c>
      <x:c r="C10" s="4" t="str">
        <x:v>(정상 + 오류) ÷ 전체. 보류는 완료에서 제외</x:v>
      </x:c>
      <x:c r="D10" s="3"/>
      <x:c r="E10" s="3"/>
      <x:c r="F10" s="3"/>
    </x:row>
    <x:row r="11" ht="32" customHeight="1">
      <x:c r="A11" s="4" t="str">
        <x:v>정상 비율</x:v>
      </x:c>
      <x:c r="B11" s="14" t="n">
        <x:f>IF(B5=0,0,B6/B5)</x:f>
        <x:v>0</x:v>
      </x:c>
      <x:c r="C11" s="4" t="str">
        <x:v>정상 ÷ 전체. 완료율과 구분</x:v>
      </x:c>
      <x:c r="D11" s="3"/>
      <x:c r="E11" s="3"/>
      <x:c r="F11" s="3"/>
    </x:row>
    <x:row r="12" ht="32" customHeight="1">
      <x:c r="A12" s="4" t="str">
        <x:v>상태 누락 / 잘못된 입력</x:v>
      </x:c>
      <x:c r="B12" s="4" t="n">
        <x:f>B5-SUM(B6:B9)</x:f>
        <x:v>0</x:v>
      </x:c>
      <x:c r="C12" s="4" t="str">
        <x:v>0이어야 상태별 합계와 전체가 일치</x:v>
      </x:c>
      <x:c r="D12" s="3"/>
      <x:c r="E12" s="3"/>
      <x:c r="F12" s="3"/>
    </x:row>
    <x:row r="13">
      <x:c r="A13" s="3"/>
      <x:c r="B13" s="3"/>
      <x:c r="C13" s="3"/>
      <x:c r="D13" s="3"/>
      <x:c r="E13" s="3"/>
      <x:c r="F13" s="3"/>
    </x:row>
    <x:row r="14">
      <x:c r="A14" s="23" t="str">
        <x:v>사용 방법</x:v>
      </x:c>
      <x:c r="B14" s="3"/>
      <x:c r="C14" s="3"/>
      <x:c r="D14" s="3"/>
      <x:c r="E14" s="3"/>
      <x:c r="F14" s="3"/>
    </x:row>
    <x:row r="15" ht="36" customHeight="1">
      <x:c r="A15" s="3" t="str">
        <x:v>연동체크리스트의 체크 열에서 상태를 선택하고 비고에 확인일·검수자·증상을 기록하세요.</x:v>
      </x:c>
      <x:c r="B15" s="3"/>
      <x:c r="C15" s="3"/>
      <x:c r="D15" s="3"/>
      <x:c r="E15" s="3"/>
      <x:c r="F15" s="3"/>
    </x:row>
    <x:row r="16" ht="36" customHeight="1">
      <x:c r="A16" s="3" t="str">
        <x:v>이전 대화의 85개 항목 중 화면 접속 6개를 한 행으로 묶어 80개로 구성했습니다.</x:v>
      </x:c>
      <x:c r="B16" s="3"/>
      <x:c r="C16" s="3"/>
      <x:c r="D16" s="3"/>
      <x:c r="E16" s="3"/>
      <x:c r="F16" s="3"/>
    </x:row>
    <x:row r="17" ht="36" customHeight="1">
      <x:c r="A17" s="3" t="str">
        <x:v>예약번호·상품코드·금액은 원문의 예시입니다. 실제 검수 데이터에 맞춰 비교하세요.</x:v>
      </x:c>
      <x:c r="B17" s="3"/>
      <x:c r="C17" s="3"/>
      <x:c r="D17" s="3"/>
      <x:c r="E17" s="3"/>
      <x:c r="F17" s="3"/>
    </x:row>
    <x:row r="18" ht="36" customHeight="1">
      <x:c r="A18" s="3" t="str">
        <x:v>전체 항목은 미확인으로 시작합니다. 이 파일은 검수 양식이며 실제 검수 결과가 아닙니다.</x:v>
      </x:c>
      <x:c r="B18" s="3"/>
      <x:c r="C18" s="3"/>
      <x:c r="D18" s="3"/>
      <x:c r="E18" s="3"/>
      <x:c r="F18" s="3"/>
    </x:row>
    <x:row r="19" ht="36" customHeight="1">
      <x:c r="A19" s="3" t="str">
        <x:v>공급여행사 예약·정산관리 URL은 원문에 없어 사이트경로 시트에 확인 필요로 표시했습니다.</x:v>
      </x:c>
      <x:c r="B19" s="3"/>
      <x:c r="C19" s="3"/>
      <x:c r="D19" s="3"/>
      <x:c r="E19" s="3"/>
      <x:c r="F19" s="3"/>
    </x:row>
    <x:row r="20">
      <x:c r="A20" s="3"/>
      <x:c r="B20" s="3"/>
      <x:c r="C20" s="3"/>
      <x:c r="D20" s="3"/>
      <x:c r="E20" s="3"/>
      <x:c r="F20" s="3"/>
    </x:row>
    <x:row r="21">
      <x:c r="A21" s="3"/>
      <x:c r="B21" s="3"/>
      <x:c r="C21" s="3"/>
      <x:c r="D21" s="3"/>
      <x:c r="E21" s="3"/>
      <x:c r="F21" s="3"/>
    </x:row>
    <x:row r="22">
      <x:c r="A22" s="3"/>
      <x:c r="B22" s="3"/>
      <x:c r="C22" s="3"/>
      <x:c r="D22" s="3"/>
      <x:c r="E22" s="3"/>
      <x:c r="F22" s="3"/>
    </x:row>
  </x:sheetData>
  <x:mergeCells>
    <x:mergeCell ref="A15:C15"/>
    <x:mergeCell ref="A16:C16"/>
    <x:mergeCell ref="A17:C17"/>
    <x:mergeCell ref="A18:C18"/>
    <x:mergeCell ref="A19:C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76" hidden="0" customWidth="1"/>
    <x:col min="4" max="4" width="57" hidden="0" customWidth="1"/>
    <x:col min="5" max="5" width="38" hidden="0" customWidth="1"/>
  </x:cols>
  <x:sheetData>
    <x:row r="1" ht="36" customHeight="1">
      <x:c r="A1" s="6" t="str">
        <x:v>구분</x:v>
      </x:c>
      <x:c r="B1" s="6" t="str">
        <x:v>화면명</x:v>
      </x:c>
      <x:c r="C1" s="6" t="str">
        <x:v>경로</x:v>
      </x:c>
      <x:c r="D1" s="6" t="str">
        <x:v>용도/확인내용</x:v>
      </x:c>
      <x:c r="E1" s="6" t="str">
        <x:v>로그인정보(필요시)</x:v>
      </x:c>
    </x:row>
    <x:row r="2" ht="66" customHeight="1">
      <x:c r="A2" s="4" t="str">
        <x:v>판매점</x:v>
      </x:c>
      <x:c r="B2" s="4" t="str">
        <x:v>로그인</x:v>
      </x:c>
      <x:c r="C2" s="4" t="str">
        <x:v>https://aos-platform-admin-next-taein.vercel.app/seller/login</x:v>
      </x:c>
      <x:c r="D2" s="4" t="str">
        <x:v>판매점 Mock 계정으로 로그인</x:v>
      </x:c>
      <x:c r="E2" s="4" t="str">
        <x:v>ID: graegaja
PW: seller123! (Mock)</x:v>
      </x:c>
    </x:row>
    <x:row r="3" ht="66" customHeight="1">
      <x:c r="A3" s="4" t="str">
        <x:v>판매점</x:v>
      </x:c>
      <x:c r="B3" s="4" t="str">
        <x:v>대시보드</x:v>
      </x:c>
      <x:c r="C3" s="4" t="str">
        <x:v>https://aos-platform-admin-next-taein.vercel.app/seller/dashboard</x:v>
      </x:c>
      <x:c r="D3" s="4" t="str">
        <x:v>판매점명·코드 및 주요 현황 확인</x:v>
      </x:c>
      <x:c r="E3" s="4" t="str">
        <x:v>판매점 로그인 후 이용</x:v>
      </x:c>
    </x:row>
    <x:row r="4" ht="66" customHeight="1">
      <x:c r="A4" s="4" t="str">
        <x:v>판매점</x:v>
      </x:c>
      <x:c r="B4" s="4" t="str">
        <x:v>공급여행사</x:v>
      </x:c>
      <x:c r="C4" s="4" t="str">
        <x:v>https://aos-platform-admin-next-taein.vercel.app/seller/suppliers</x:v>
      </x:c>
      <x:c r="D4" s="4" t="str">
        <x:v>행복투어·현담여행사·A투어 관계와 승인/중지 상태 비교</x:v>
      </x:c>
      <x:c r="E4" s="4" t="str">
        <x:v>판매점 로그인 후 이용</x:v>
      </x:c>
    </x:row>
    <x:row r="5" ht="66" customHeight="1">
      <x:c r="A5" s="4" t="str">
        <x:v>판매점</x:v>
      </x:c>
      <x:c r="B5" s="4" t="str">
        <x:v>판매상품</x:v>
      </x:c>
      <x:c r="C5" s="4" t="str">
        <x:v>https://aos-platform-admin-next-taein.vercel.app/seller/products</x:v>
      </x:c>
      <x:c r="D5" s="4" t="str">
        <x:v>판매허용 상품, 판매방식, 입금가·수수료, 판매상태 확인</x:v>
      </x:c>
      <x:c r="E5" s="4" t="str">
        <x:v>판매점 로그인 후 이용</x:v>
      </x:c>
    </x:row>
    <x:row r="6" ht="66" customHeight="1">
      <x:c r="A6" s="4" t="str">
        <x:v>판매점</x:v>
      </x:c>
      <x:c r="B6" s="4" t="str">
        <x:v>예약관리</x:v>
      </x:c>
      <x:c r="C6" s="4" t="str">
        <x:v>https://aos-platform-admin-next-taein.vercel.app/seller/reservations</x:v>
      </x:c>
      <x:c r="D6" s="4" t="str">
        <x:v>예약번호·금액·스냅샷 및 취소/환불 상태 비교</x:v>
      </x:c>
      <x:c r="E6" s="4" t="str">
        <x:v>판매점 로그인 후 이용</x:v>
      </x:c>
    </x:row>
    <x:row r="7" ht="66" customHeight="1">
      <x:c r="A7" s="4" t="str">
        <x:v>판매점</x:v>
      </x:c>
      <x:c r="B7" s="4" t="str">
        <x:v>인보이스</x:v>
      </x:c>
      <x:c r="C7" s="4" t="str">
        <x:v>https://aos-platform-admin-next-taein.vercel.app/seller/invoices</x:v>
      </x:c>
      <x:c r="D7" s="4" t="str">
        <x:v>인보이스 금액, 재발행 필요 상태, 버전 비교</x:v>
      </x:c>
      <x:c r="E7" s="4" t="str">
        <x:v>판매점 로그인 후 이용</x:v>
      </x:c>
    </x:row>
    <x:row r="8" ht="66" customHeight="1">
      <x:c r="A8" s="4" t="str">
        <x:v>판매점</x:v>
      </x:c>
      <x:c r="B8" s="4" t="str">
        <x:v>정산관리</x:v>
      </x:c>
      <x:c r="C8" s="4" t="str">
        <x:v>https://aos-platform-admin-next-taein.vercel.app/seller/settlements</x:v>
      </x:c>
      <x:c r="D8" s="4" t="str">
        <x:v>정산 원금·조정·최종금액, 재확인 및 지급상태 비교</x:v>
      </x:c>
      <x:c r="E8" s="4" t="str">
        <x:v>판매점 로그인 후 이용</x:v>
      </x:c>
    </x:row>
    <x:row r="9" ht="66" customHeight="1">
      <x:c r="A9" s="4" t="str">
        <x:v>공급여행사</x:v>
      </x:c>
      <x:c r="B9" s="4" t="str">
        <x:v>관리자 메인</x:v>
      </x:c>
      <x:c r="C9" s="4" t="str">
        <x:v>https://aos-platform-admin-next-taein.vercel.app/</x:v>
      </x:c>
      <x:c r="D9" s="4" t="str">
        <x:v>공급여행사 관리자 진입 및 계정/조직 확인</x:v>
      </x:c>
      <x:c r="E9" s="4" t="str">
        <x:v>공급여행사 계정 필요 (원문 미제공)</x:v>
      </x:c>
    </x:row>
    <x:row r="10" ht="66" customHeight="1">
      <x:c r="A10" s="4" t="str">
        <x:v>공급여행사</x:v>
      </x:c>
      <x:c r="B10" s="4" t="str">
        <x:v>판매점관리</x:v>
      </x:c>
      <x:c r="C10" s="4" t="str">
        <x:v>https://aos-platform-admin-next-taein.vercel.app/members/sellers</x:v>
      </x:c>
      <x:c r="D10" s="4" t="str">
        <x:v>그래가자 / SEL00032 관계상태, 승인·중지·복귀 확인</x:v>
      </x:c>
      <x:c r="E10" s="4" t="str">
        <x:v>해당 공급여행사 계정</x:v>
      </x:c>
    </x:row>
    <x:row r="11" ht="66" customHeight="1">
      <x:c r="A11" s="4" t="str">
        <x:v>공급여행사</x:v>
      </x:c>
      <x:c r="B11" s="4" t="str">
        <x:v>상품공유 / 판매점 판매설정</x:v>
      </x:c>
      <x:c r="C11" s="4" t="str">
        <x:v>https://aos-platform-admin-next-taein.vercel.app/products/{상품코드}/share</x:v>
      </x:c>
      <x:c r="D11" s="4" t="str">
        <x:v>{상품코드}를 실제 코드로 교체. 판매허용 및 입금가·수수료 설정 비교</x:v>
      </x:c>
      <x:c r="E11" s="4" t="str">
        <x:v>해당 공급여행사 계정</x:v>
      </x:c>
    </x:row>
    <x:row r="12" ht="66" customHeight="1">
      <x:c r="A12" s="4" t="str">
        <x:v>공급여행사</x:v>
      </x:c>
      <x:c r="B12" s="4" t="str">
        <x:v>예약관리</x:v>
      </x:c>
      <x:c r="C12" s="4" t="str">
        <x:v>정확한 URL 확인 필요
관리자 메인 → 예약관리 메뉴</x:v>
      </x:c>
      <x:c r="D12" s="4" t="str">
        <x:v>판매점 예약, 취소요청·승인 및 환불 비교. 진입 후 실제 URL 기록</x:v>
      </x:c>
      <x:c r="E12" s="4" t="str">
        <x:v>해당 공급여행사 계정</x:v>
      </x:c>
    </x:row>
    <x:row r="13" ht="66" customHeight="1">
      <x:c r="A13" s="4" t="str">
        <x:v>공급여행사</x:v>
      </x:c>
      <x:c r="B13" s="4" t="str">
        <x:v>정산관리</x:v>
      </x:c>
      <x:c r="C13" s="4" t="str">
        <x:v>정확한 URL 확인 필요
관리자 메인 → 정산관리 메뉴</x:v>
      </x:c>
      <x:c r="D13" s="4" t="str">
        <x:v>정산 재발행·확정·지급·차기조정 비교. 진입 후 실제 URL 기록</x:v>
      </x:c>
      <x:c r="E13" s="4" t="str">
        <x:v>해당 공급여행사 계정</x:v>
      </x:c>
    </x:row>
    <x:row r="15">
      <x:c r="A15" t="str">
        <x:v>출처: 이전 대화 「판매점 관리자 구성」 (아래 링크). URL 접속 및 실제 연동 검수는 수행 전입니다.</x:v>
      </x:c>
    </x:row>
    <x:row r="16">
      <x:c r="A16" t="str">
        <x:v>chatgpt-conversation://6aaa2d41-ef44-83e9-89d4-0e003f6060e1</x:v>
      </x:c>
    </x:row>
  </x:sheetData>
  <x:pageMargins left="0.7" right="0.7" top="0.75" bottom="0.75" header="0.3" footer="0.3"/>
  <x:tableParts count="1">
    <x:tablePart xmlns:r="http://schemas.openxmlformats.org/officeDocument/2006/relationships" r:id="R37f9f7cb197447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44" hidden="0" customWidth="1"/>
    <x:col min="5" max="5" width="44" hidden="0" customWidth="1"/>
    <x:col min="6" max="6" width="44" hidden="0" customWidth="1"/>
    <x:col min="7" max="7" width="38" hidden="0" customWidth="1"/>
  </x:cols>
  <x:sheetData>
    <x:row r="1" ht="36" customHeight="1">
      <x:c r="A1" s="6" t="str">
        <x:v>체크</x:v>
      </x:c>
      <x:c r="B1" s="6" t="str">
        <x:v>구분</x:v>
      </x:c>
      <x:c r="C1" s="6" t="str">
        <x:v>확인항목</x:v>
      </x:c>
      <x:c r="D1" s="6" t="str">
        <x:v>공급여행사 관리자에서 확인</x:v>
      </x:c>
      <x:c r="E1" s="6" t="str">
        <x:v>판매점 관리자에서 확인</x:v>
      </x:c>
      <x:c r="F1" s="6" t="str">
        <x:v>정상기준</x:v>
      </x:c>
      <x:c r="G1" s="6" t="str">
        <x:v>비고</x:v>
      </x:c>
    </x:row>
    <x:row r="2" ht="48" customHeight="1">
      <x:c r="A2" s="7" t="str">
        <x:v>미확인</x:v>
      </x:c>
      <x:c r="B2" s="4" t="str">
        <x:v>로그인</x:v>
      </x:c>
      <x:c r="C2" s="4" t="str">
        <x:v>판매점 로그인</x:v>
      </x:c>
      <x:c r="D2" s="4" t="str">
        <x:v>-</x:v>
      </x:c>
      <x:c r="E2" s="4" t="str">
        <x:v>/seller/login</x:v>
      </x:c>
      <x:c r="F2" s="4" t="str">
        <x:v>그래가자 로그인 정상</x:v>
      </x:c>
      <x:c r="G2" s="4" t="str"/>
    </x:row>
    <x:row r="3" ht="48" customHeight="1">
      <x:c r="A3" s="7" t="str">
        <x:v>미확인</x:v>
      </x:c>
      <x:c r="B3" s="4" t="str">
        <x:v>기본정보</x:v>
      </x:c>
      <x:c r="C3" s="4" t="str">
        <x:v>판매점명/코드</x:v>
      </x:c>
      <x:c r="D3" s="4" t="str">
        <x:v>판매점관리에서 그래가자 / SEL00032</x:v>
      </x:c>
      <x:c r="E3" s="4" t="str">
        <x:v>Topbar/Dashboard에서 그래가자 / SEL00032</x:v>
      </x:c>
      <x:c r="F3" s="4" t="str">
        <x:v>양쪽 동일</x:v>
      </x:c>
      <x:c r="G3" s="4" t="str"/>
    </x:row>
    <x:row r="4" ht="48" customHeight="1">
      <x:c r="A4" s="7" t="str">
        <x:v>미확인</x:v>
      </x:c>
      <x:c r="B4" s="4" t="str">
        <x:v>관계</x:v>
      </x:c>
      <x:c r="C4" s="4" t="str">
        <x:v>행복투어 가입상태</x:v>
      </x:c>
      <x:c r="D4" s="4" t="str">
        <x:v>/members/sellers</x:v>
      </x:c>
      <x:c r="E4" s="4" t="str">
        <x:v>/seller/suppliers</x:v>
      </x:c>
      <x:c r="F4" s="4" t="str">
        <x:v>둘 다 정상</x:v>
      </x:c>
      <x:c r="G4" s="4" t="str"/>
    </x:row>
    <x:row r="5" ht="48" customHeight="1">
      <x:c r="A5" s="7" t="str">
        <x:v>미확인</x:v>
      </x:c>
      <x:c r="B5" s="4" t="str">
        <x:v>관계</x:v>
      </x:c>
      <x:c r="C5" s="4" t="str">
        <x:v>현담여행사 가입상태</x:v>
      </x:c>
      <x:c r="D5" s="4" t="str">
        <x:v>현담 관리자 판매점관리</x:v>
      </x:c>
      <x:c r="E5" s="4" t="str">
        <x:v>/seller/suppliers</x:v>
      </x:c>
      <x:c r="F5" s="4" t="str">
        <x:v>둘 다 정상</x:v>
      </x:c>
      <x:c r="G5" s="4" t="str"/>
    </x:row>
    <x:row r="6" ht="48" customHeight="1">
      <x:c r="A6" s="7" t="str">
        <x:v>미확인</x:v>
      </x:c>
      <x:c r="B6" s="4" t="str">
        <x:v>관계</x:v>
      </x:c>
      <x:c r="C6" s="4" t="str">
        <x:v>A투어 승인대기</x:v>
      </x:c>
      <x:c r="D6" s="4" t="str">
        <x:v>A투어 가입요청</x:v>
      </x:c>
      <x:c r="E6" s="4" t="str">
        <x:v>/seller/suppliers</x:v>
      </x:c>
      <x:c r="F6" s="4" t="str">
        <x:v>둘 다 승인대기</x:v>
      </x:c>
      <x:c r="G6" s="4" t="str"/>
    </x:row>
    <x:row r="7" ht="48" customHeight="1">
      <x:c r="A7" s="7" t="str">
        <x:v>미확인</x:v>
      </x:c>
      <x:c r="B7" s="4" t="str">
        <x:v>관계</x:v>
      </x:c>
      <x:c r="C7" s="4" t="str">
        <x:v>이용중지</x:v>
      </x:c>
      <x:c r="D7" s="4" t="str">
        <x:v>공급여행사에서 이용중지</x:v>
      </x:c>
      <x:c r="E7" s="4" t="str">
        <x:v>판매점 공급여행사 상태</x:v>
      </x:c>
      <x:c r="F7" s="4" t="str">
        <x:v>즉시 동일 반영</x:v>
      </x:c>
      <x:c r="G7" s="4" t="str"/>
    </x:row>
    <x:row r="8" ht="48" customHeight="1">
      <x:c r="A8" s="7" t="str">
        <x:v>미확인</x:v>
      </x:c>
      <x:c r="B8" s="4" t="str">
        <x:v>관계</x:v>
      </x:c>
      <x:c r="C8" s="4" t="str">
        <x:v>정상복귀</x:v>
      </x:c>
      <x:c r="D8" s="4" t="str">
        <x:v>공급여행사에서 정상복귀</x:v>
      </x:c>
      <x:c r="E8" s="4" t="str">
        <x:v>판매점 상태 확인</x:v>
      </x:c>
      <x:c r="F8" s="4" t="str">
        <x:v>관계만 정상, 상품 자동재개 금지</x:v>
      </x:c>
      <x:c r="G8" s="4" t="str"/>
    </x:row>
    <x:row r="9" ht="48" customHeight="1">
      <x:c r="A9" s="7" t="str">
        <x:v>미확인</x:v>
      </x:c>
      <x:c r="B9" s="4" t="str">
        <x:v>상품</x:v>
      </x:c>
      <x:c r="C9" s="4" t="str">
        <x:v>상품 판매허용</x:v>
      </x:c>
      <x:c r="D9" s="4" t="str">
        <x:v>/products/{code}/share에서 그래가자 허용</x:v>
      </x:c>
      <x:c r="E9" s="4" t="str">
        <x:v>/seller/products</x:v>
      </x:c>
      <x:c r="F9" s="4" t="str">
        <x:v>허용한 상품만 노출</x:v>
      </x:c>
      <x:c r="G9" s="4" t="str"/>
    </x:row>
    <x:row r="10" ht="48" customHeight="1">
      <x:c r="A10" s="7" t="str">
        <x:v>미확인</x:v>
      </x:c>
      <x:c r="B10" s="4" t="str">
        <x:v>상품</x:v>
      </x:c>
      <x:c r="C10" s="4" t="str">
        <x:v>미허용 상품</x:v>
      </x:c>
      <x:c r="D10" s="4" t="str">
        <x:v>판매허용 안 함</x:v>
      </x:c>
      <x:c r="E10" s="4" t="str">
        <x:v>판매상품 목록</x:v>
      </x:c>
      <x:c r="F10" s="4" t="str">
        <x:v>노출되면 안 됨</x:v>
      </x:c>
      <x:c r="G10" s="4" t="str"/>
    </x:row>
    <x:row r="11" ht="48" customHeight="1">
      <x:c r="A11" s="7" t="str">
        <x:v>미확인</x:v>
      </x:c>
      <x:c r="B11" s="4" t="str">
        <x:v>상품</x:v>
      </x:c>
      <x:c r="C11" s="4" t="str">
        <x:v>상품코드</x:v>
      </x:c>
      <x:c r="D11" s="4" t="str">
        <x:v>예: HT-WINE01</x:v>
      </x:c>
      <x:c r="E11" s="4" t="str">
        <x:v>/seller/products</x:v>
      </x:c>
      <x:c r="F11" s="4" t="str">
        <x:v>양쪽 동일</x:v>
      </x:c>
      <x:c r="G11" s="4" t="str"/>
    </x:row>
    <x:row r="12" ht="48" customHeight="1">
      <x:c r="A12" s="7" t="str">
        <x:v>미확인</x:v>
      </x:c>
      <x:c r="B12" s="4" t="str">
        <x:v>상품</x:v>
      </x:c>
      <x:c r="C12" s="4" t="str">
        <x:v>수수료형</x:v>
      </x:c>
      <x:c r="D12" s="4" t="str">
        <x:v>판매가/수수료율 설정</x:v>
      </x:c>
      <x:c r="E12" s="4" t="str">
        <x:v>판매상품에서 수수료형</x:v>
      </x:c>
      <x:c r="F12" s="4" t="str">
        <x:v>방식/금액 동일</x:v>
      </x:c>
      <x:c r="G12" s="4" t="str"/>
    </x:row>
    <x:row r="13" ht="48" customHeight="1">
      <x:c r="A13" s="7" t="str">
        <x:v>미확인</x:v>
      </x:c>
      <x:c r="B13" s="4" t="str">
        <x:v>상품</x:v>
      </x:c>
      <x:c r="C13" s="4" t="str">
        <x:v>입금가형</x:v>
      </x:c>
      <x:c r="D13" s="4" t="str">
        <x:v>입금가 설정</x:v>
      </x:c>
      <x:c r="E13" s="4" t="str">
        <x:v>판매가 설정</x:v>
      </x:c>
      <x:c r="F13" s="4" t="str">
        <x:v>입금가 동일</x:v>
      </x:c>
      <x:c r="G13" s="4" t="str"/>
    </x:row>
    <x:row r="14" ht="48" customHeight="1">
      <x:c r="A14" s="7" t="str">
        <x:v>미확인</x:v>
      </x:c>
      <x:c r="B14" s="4" t="str">
        <x:v>상품</x:v>
      </x:c>
      <x:c r="C14" s="4" t="str">
        <x:v>판매점 판매가</x:v>
      </x:c>
      <x:c r="D14" s="4" t="str">
        <x:v>공급여행사에서는 조회만</x:v>
      </x:c>
      <x:c r="E14" s="4" t="str">
        <x:v>판매점에서 수정</x:v>
      </x:c>
      <x:c r="F14" s="4" t="str">
        <x:v>변경값 양쪽 동일</x:v>
      </x:c>
      <x:c r="G14" s="4" t="str"/>
    </x:row>
    <x:row r="15" ht="48" customHeight="1">
      <x:c r="A15" s="7" t="str">
        <x:v>미확인</x:v>
      </x:c>
      <x:c r="B15" s="4" t="str">
        <x:v>상품</x:v>
      </x:c>
      <x:c r="C15" s="4" t="str">
        <x:v>판매점 판매가 권한</x:v>
      </x:c>
      <x:c r="D15" s="4" t="str">
        <x:v>수정버튼 없음</x:v>
      </x:c>
      <x:c r="E15" s="4" t="str">
        <x:v>수정 가능</x:v>
      </x:c>
      <x:c r="F15" s="4" t="str">
        <x:v>권한 분리 정상</x:v>
      </x:c>
      <x:c r="G15" s="4" t="str"/>
    </x:row>
    <x:row r="16" ht="48" customHeight="1">
      <x:c r="A16" s="7" t="str">
        <x:v>미확인</x:v>
      </x:c>
      <x:c r="B16" s="4" t="str">
        <x:v>상품</x:v>
      </x:c>
      <x:c r="C16" s="4" t="str">
        <x:v>공급 상품중지</x:v>
      </x:c>
      <x:c r="D16" s="4" t="str">
        <x:v>공급여행사에서 판매중지</x:v>
      </x:c>
      <x:c r="E16" s="4" t="str">
        <x:v>판매상품</x:v>
      </x:c>
      <x:c r="F16" s="4" t="str">
        <x:v>판매중지로 반영</x:v>
      </x:c>
      <x:c r="G16" s="4" t="str"/>
    </x:row>
    <x:row r="17" ht="48" customHeight="1">
      <x:c r="A17" s="7" t="str">
        <x:v>미확인</x:v>
      </x:c>
      <x:c r="B17" s="4" t="str">
        <x:v>상품</x:v>
      </x:c>
      <x:c r="C17" s="4" t="str">
        <x:v>판매점 자체중지</x:v>
      </x:c>
      <x:c r="D17" s="4" t="str">
        <x:v>공급관리에서 상태 확인</x:v>
      </x:c>
      <x:c r="E17" s="4" t="str">
        <x:v>판매점에서 자체중지</x:v>
      </x:c>
      <x:c r="F17" s="4" t="str">
        <x:v>해당 판매점만 중지</x:v>
      </x:c>
      <x:c r="G17" s="4" t="str"/>
    </x:row>
    <x:row r="18" ht="48" customHeight="1">
      <x:c r="A18" s="7" t="str">
        <x:v>미확인</x:v>
      </x:c>
      <x:c r="B18" s="4" t="str">
        <x:v>상품</x:v>
      </x:c>
      <x:c r="C18" s="4" t="str">
        <x:v>판매재개</x:v>
      </x:c>
      <x:c r="D18" s="4" t="str">
        <x:v>공급상품 정상 확인</x:v>
      </x:c>
      <x:c r="E18" s="4" t="str">
        <x:v>판매점에서 재개</x:v>
      </x:c>
      <x:c r="F18" s="4" t="str">
        <x:v>상위조건 정상일 때만 가능</x:v>
      </x:c>
      <x:c r="G18" s="4" t="str"/>
    </x:row>
    <x:row r="19" ht="48" customHeight="1">
      <x:c r="A19" s="7" t="str">
        <x:v>미확인</x:v>
      </x:c>
      <x:c r="B19" s="4" t="str">
        <x:v>상품</x:v>
      </x:c>
      <x:c r="C19" s="4" t="str">
        <x:v>관계 이용중지</x:v>
      </x:c>
      <x:c r="D19" s="4" t="str">
        <x:v>공급여행사 관계 중지</x:v>
      </x:c>
      <x:c r="E19" s="4" t="str">
        <x:v>판매상품</x:v>
      </x:c>
      <x:c r="F19" s="4" t="str">
        <x:v>판매불가</x:v>
      </x:c>
      <x:c r="G19" s="4" t="str"/>
    </x:row>
    <x:row r="20" ht="48" customHeight="1">
      <x:c r="A20" s="7" t="str">
        <x:v>미확인</x:v>
      </x:c>
      <x:c r="B20" s="4" t="str">
        <x:v>상품</x:v>
      </x:c>
      <x:c r="C20" s="4" t="str">
        <x:v>관계 정상화</x:v>
      </x:c>
      <x:c r="D20" s="4" t="str">
        <x:v>관계 정상</x:v>
      </x:c>
      <x:c r="E20" s="4" t="str">
        <x:v>판매상품</x:v>
      </x:c>
      <x:c r="F20" s="4" t="str">
        <x:v>자동 판매재개 금지</x:v>
      </x:c>
      <x:c r="G20" s="4" t="str"/>
    </x:row>
    <x:row r="21" ht="48" customHeight="1">
      <x:c r="A21" s="7" t="str">
        <x:v>미확인</x:v>
      </x:c>
      <x:c r="B21" s="4" t="str">
        <x:v>예약</x:v>
      </x:c>
      <x:c r="C21" s="4" t="str">
        <x:v>예약 생성/목록</x:v>
      </x:c>
      <x:c r="D21" s="4" t="str">
        <x:v>공급여행사 예약관리</x:v>
      </x:c>
      <x:c r="E21" s="4" t="str">
        <x:v>/seller/reservations</x:v>
      </x:c>
      <x:c r="F21" s="4" t="str">
        <x:v>동일 예약 노출</x:v>
      </x:c>
      <x:c r="G21" s="4" t="str"/>
    </x:row>
    <x:row r="22" ht="48" customHeight="1">
      <x:c r="A22" s="7" t="str">
        <x:v>미확인</x:v>
      </x:c>
      <x:c r="B22" s="4" t="str">
        <x:v>예약</x:v>
      </x:c>
      <x:c r="C22" s="4" t="str">
        <x:v>예약번호</x:v>
      </x:c>
      <x:c r="D22" s="4" t="str">
        <x:v>예: RSV-20261012-001</x:v>
      </x:c>
      <x:c r="E22" s="4" t="str">
        <x:v>동일</x:v>
      </x:c>
      <x:c r="F22" s="4" t="str">
        <x:v>번호 동일</x:v>
      </x:c>
      <x:c r="G22" s="4" t="str"/>
    </x:row>
    <x:row r="23" ht="48" customHeight="1">
      <x:c r="A23" s="7" t="str">
        <x:v>미확인</x:v>
      </x:c>
      <x:c r="B23" s="4" t="str">
        <x:v>예약</x:v>
      </x:c>
      <x:c r="C23" s="4" t="str">
        <x:v>공급여행사</x:v>
      </x:c>
      <x:c r="D23" s="4" t="str">
        <x:v>행복투어</x:v>
      </x:c>
      <x:c r="E23" s="4" t="str">
        <x:v>행복투어</x:v>
      </x:c>
      <x:c r="F23" s="4" t="str">
        <x:v>동일</x:v>
      </x:c>
      <x:c r="G23" s="4" t="str"/>
    </x:row>
    <x:row r="24" ht="48" customHeight="1">
      <x:c r="A24" s="7" t="str">
        <x:v>미확인</x:v>
      </x:c>
      <x:c r="B24" s="4" t="str">
        <x:v>예약</x:v>
      </x:c>
      <x:c r="C24" s="4" t="str">
        <x:v>상품명/코드</x:v>
      </x:c>
      <x:c r="D24" s="4" t="str">
        <x:v>국악와인열차 / HT-WINE01</x:v>
      </x:c>
      <x:c r="E24" s="4" t="str">
        <x:v>동일</x:v>
      </x:c>
      <x:c r="F24" s="4" t="str">
        <x:v>동일</x:v>
      </x:c>
      <x:c r="G24" s="4" t="str"/>
    </x:row>
    <x:row r="25" ht="48" customHeight="1">
      <x:c r="A25" s="7" t="str">
        <x:v>미확인</x:v>
      </x:c>
      <x:c r="B25" s="4" t="str">
        <x:v>예약</x:v>
      </x:c>
      <x:c r="C25" s="4" t="str">
        <x:v>예약자/인원</x:v>
      </x:c>
      <x:c r="D25" s="4" t="str">
        <x:v>예약 상세</x:v>
      </x:c>
      <x:c r="E25" s="4" t="str">
        <x:v>판매점 예약 상세</x:v>
      </x:c>
      <x:c r="F25" s="4" t="str">
        <x:v>동일</x:v>
      </x:c>
      <x:c r="G25" s="4" t="str"/>
    </x:row>
    <x:row r="26" ht="48" customHeight="1">
      <x:c r="A26" s="7" t="str">
        <x:v>미확인</x:v>
      </x:c>
      <x:c r="B26" s="4" t="str">
        <x:v>예약</x:v>
      </x:c>
      <x:c r="C26" s="4" t="str">
        <x:v>예약금액</x:v>
      </x:c>
      <x:c r="D26" s="4" t="str">
        <x:v>130,000원</x:v>
      </x:c>
      <x:c r="E26" s="4" t="str">
        <x:v>130,000원</x:v>
      </x:c>
      <x:c r="F26" s="4" t="str">
        <x:v>동일</x:v>
      </x:c>
      <x:c r="G26" s="4" t="str"/>
    </x:row>
    <x:row r="27" ht="48" customHeight="1">
      <x:c r="A27" s="7" t="str">
        <x:v>미확인</x:v>
      </x:c>
      <x:c r="B27" s="4" t="str">
        <x:v>예약</x:v>
      </x:c>
      <x:c r="C27" s="4" t="str">
        <x:v>판매방식 Snapshot</x:v>
      </x:c>
      <x:c r="D27" s="4" t="str">
        <x:v>입금가형/수수료형</x:v>
      </x:c>
      <x:c r="E27" s="4" t="str">
        <x:v>동일</x:v>
      </x:c>
      <x:c r="F27" s="4" t="str">
        <x:v>동일</x:v>
      </x:c>
      <x:c r="G27" s="4" t="str"/>
    </x:row>
    <x:row r="28" ht="48" customHeight="1">
      <x:c r="A28" s="7" t="str">
        <x:v>미확인</x:v>
      </x:c>
      <x:c r="B28" s="4" t="str">
        <x:v>예약</x:v>
      </x:c>
      <x:c r="C28" s="4" t="str">
        <x:v>입금가 Snapshot</x:v>
      </x:c>
      <x:c r="D28" s="4" t="str">
        <x:v>예: 55,000원</x:v>
      </x:c>
      <x:c r="E28" s="4" t="str">
        <x:v>동일</x:v>
      </x:c>
      <x:c r="F28" s="4" t="str">
        <x:v>현재 입금가 변경 영향 없음</x:v>
      </x:c>
      <x:c r="G28" s="4" t="str"/>
    </x:row>
    <x:row r="29" ht="48" customHeight="1">
      <x:c r="A29" s="7" t="str">
        <x:v>미확인</x:v>
      </x:c>
      <x:c r="B29" s="4" t="str">
        <x:v>예약</x:v>
      </x:c>
      <x:c r="C29" s="4" t="str">
        <x:v>판매가 Snapshot</x:v>
      </x:c>
      <x:c r="D29" s="4" t="str">
        <x:v>예: 65,000원</x:v>
      </x:c>
      <x:c r="E29" s="4" t="str">
        <x:v>동일</x:v>
      </x:c>
      <x:c r="F29" s="4" t="str">
        <x:v>현재 판매가 변경 영향 없음</x:v>
      </x:c>
      <x:c r="G29" s="4" t="str"/>
    </x:row>
    <x:row r="30" ht="48" customHeight="1">
      <x:c r="A30" s="7" t="str">
        <x:v>미확인</x:v>
      </x:c>
      <x:c r="B30" s="4" t="str">
        <x:v>예약</x:v>
      </x:c>
      <x:c r="C30" s="4" t="str">
        <x:v>판매점 수익</x:v>
      </x:c>
      <x:c r="D30" s="4" t="str">
        <x:v>예: 20,000원</x:v>
      </x:c>
      <x:c r="E30" s="4" t="str">
        <x:v>동일</x:v>
      </x:c>
      <x:c r="F30" s="4" t="str">
        <x:v>동일</x:v>
      </x:c>
      <x:c r="G30" s="4" t="str"/>
    </x:row>
    <x:row r="31" ht="48" customHeight="1">
      <x:c r="A31" s="7" t="str">
        <x:v>미확인</x:v>
      </x:c>
      <x:c r="B31" s="4" t="str">
        <x:v>예약</x:v>
      </x:c>
      <x:c r="C31" s="4" t="str">
        <x:v>상품 판매중지 후 기존 예약</x:v>
      </x:c>
      <x:c r="D31" s="4" t="str">
        <x:v>기존 예약 유지</x:v>
      </x:c>
      <x:c r="E31" s="4" t="str">
        <x:v>기존 예약 유지</x:v>
      </x:c>
      <x:c r="F31" s="4" t="str">
        <x:v>사라지면 안 됨</x:v>
      </x:c>
      <x:c r="G31" s="4" t="str"/>
    </x:row>
    <x:row r="32" ht="48" customHeight="1">
      <x:c r="A32" s="7" t="str">
        <x:v>미확인</x:v>
      </x:c>
      <x:c r="B32" s="4" t="str">
        <x:v>예약</x:v>
      </x:c>
      <x:c r="C32" s="4" t="str">
        <x:v>공급여행사 이용중지 후 기존 예약</x:v>
      </x:c>
      <x:c r="D32" s="4" t="str">
        <x:v>조회 가능</x:v>
      </x:c>
      <x:c r="E32" s="4" t="str">
        <x:v>조회 가능</x:v>
      </x:c>
      <x:c r="F32" s="4" t="str">
        <x:v>후속처리 가능</x:v>
      </x:c>
      <x:c r="G32" s="4" t="str"/>
    </x:row>
    <x:row r="33" ht="48" customHeight="1">
      <x:c r="A33" s="7" t="str">
        <x:v>미확인</x:v>
      </x:c>
      <x:c r="B33" s="4" t="str">
        <x:v>취소</x:v>
      </x:c>
      <x:c r="C33" s="4" t="str">
        <x:v>판매점 취소요청</x:v>
      </x:c>
      <x:c r="D33" s="4" t="str">
        <x:v>공급여행사 예약상태 확인</x:v>
      </x:c>
      <x:c r="E33" s="4" t="str">
        <x:v>판매점에서 취소요청</x:v>
      </x:c>
      <x:c r="F33" s="4" t="str">
        <x:v>취소요청 동일</x:v>
      </x:c>
      <x:c r="G33" s="4" t="str"/>
    </x:row>
    <x:row r="34" ht="48" customHeight="1">
      <x:c r="A34" s="7" t="str">
        <x:v>미확인</x:v>
      </x:c>
      <x:c r="B34" s="4" t="str">
        <x:v>취소</x:v>
      </x:c>
      <x:c r="C34" s="4" t="str">
        <x:v>취소사유</x:v>
      </x:c>
      <x:c r="D34" s="4" t="str">
        <x:v>공급여행사 취소검토</x:v>
      </x:c>
      <x:c r="E34" s="4" t="str">
        <x:v>판매점 요청정보</x:v>
      </x:c>
      <x:c r="F34" s="4" t="str">
        <x:v>내용 동일</x:v>
      </x:c>
      <x:c r="G34" s="4" t="str"/>
    </x:row>
    <x:row r="35" ht="48" customHeight="1">
      <x:c r="A35" s="7" t="str">
        <x:v>미확인</x:v>
      </x:c>
      <x:c r="B35" s="4" t="str">
        <x:v>취소</x:v>
      </x:c>
      <x:c r="C35" s="4" t="str">
        <x:v>취소 승인권한</x:v>
      </x:c>
      <x:c r="D35" s="4" t="str">
        <x:v>승인 가능</x:v>
      </x:c>
      <x:c r="E35" s="4" t="str">
        <x:v>승인 불가</x:v>
      </x:c>
      <x:c r="F35" s="4" t="str">
        <x:v>권한 정상</x:v>
      </x:c>
      <x:c r="G35" s="4" t="str"/>
    </x:row>
    <x:row r="36" ht="48" customHeight="1">
      <x:c r="A36" s="7" t="str">
        <x:v>미확인</x:v>
      </x:c>
      <x:c r="B36" s="4" t="str">
        <x:v>취소</x:v>
      </x:c>
      <x:c r="C36" s="4" t="str">
        <x:v>취소 거절</x:v>
      </x:c>
      <x:c r="D36" s="4" t="str">
        <x:v>공급여행사에서 거절</x:v>
      </x:c>
      <x:c r="E36" s="4" t="str">
        <x:v>판매점 상태</x:v>
      </x:c>
      <x:c r="F36" s="4" t="str">
        <x:v>이전 상태로 복귀</x:v>
      </x:c>
      <x:c r="G36" s="4" t="str"/>
    </x:row>
    <x:row r="37" ht="48" customHeight="1">
      <x:c r="A37" s="7" t="str">
        <x:v>미확인</x:v>
      </x:c>
      <x:c r="B37" s="4" t="str">
        <x:v>취소</x:v>
      </x:c>
      <x:c r="C37" s="4" t="str">
        <x:v>거절 History</x:v>
      </x:c>
      <x:c r="D37" s="4" t="str">
        <x:v>공급여행사 이력</x:v>
      </x:c>
      <x:c r="E37" s="4" t="str">
        <x:v>판매점 이력</x:v>
      </x:c>
      <x:c r="F37" s="4" t="str">
        <x:v>이력 유지</x:v>
      </x:c>
      <x:c r="G37" s="4" t="str"/>
    </x:row>
    <x:row r="38" ht="48" customHeight="1">
      <x:c r="A38" s="7" t="str">
        <x:v>미확인</x:v>
      </x:c>
      <x:c r="B38" s="4" t="str">
        <x:v>환불</x:v>
      </x:c>
      <x:c r="C38" s="4" t="str">
        <x:v>취소수수료</x:v>
      </x:c>
      <x:c r="D38" s="4" t="str">
        <x:v>공급여행사에서 확정</x:v>
      </x:c>
      <x:c r="E38" s="4" t="str">
        <x:v>판매점 조회</x:v>
      </x:c>
      <x:c r="F38" s="4" t="str">
        <x:v>금액 동일</x:v>
      </x:c>
      <x:c r="G38" s="4" t="str"/>
    </x:row>
    <x:row r="39" ht="48" customHeight="1">
      <x:c r="A39" s="7" t="str">
        <x:v>미확인</x:v>
      </x:c>
      <x:c r="B39" s="4" t="str">
        <x:v>환불</x:v>
      </x:c>
      <x:c r="C39" s="4" t="str">
        <x:v>환불예정금액</x:v>
      </x:c>
      <x:c r="D39" s="4" t="str">
        <x:v>예: 117,000원</x:v>
      </x:c>
      <x:c r="E39" s="4" t="str">
        <x:v>판매점 상세</x:v>
      </x:c>
      <x:c r="F39" s="4" t="str">
        <x:v>동일</x:v>
      </x:c>
      <x:c r="G39" s="4" t="str"/>
    </x:row>
    <x:row r="40" ht="48" customHeight="1">
      <x:c r="A40" s="7" t="str">
        <x:v>미확인</x:v>
      </x:c>
      <x:c r="B40" s="4" t="str">
        <x:v>환불</x:v>
      </x:c>
      <x:c r="C40" s="4" t="str">
        <x:v>환불처리 권한</x:v>
      </x:c>
      <x:c r="D40" s="4" t="str">
        <x:v>공급여행사 가능</x:v>
      </x:c>
      <x:c r="E40" s="4" t="str">
        <x:v>판매점 불가</x:v>
      </x:c>
      <x:c r="F40" s="4" t="str">
        <x:v>권한 정상</x:v>
      </x:c>
      <x:c r="G40" s="4" t="str"/>
    </x:row>
    <x:row r="41" ht="48" customHeight="1">
      <x:c r="A41" s="7" t="str">
        <x:v>미확인</x:v>
      </x:c>
      <x:c r="B41" s="4" t="str">
        <x:v>환불</x:v>
      </x:c>
      <x:c r="C41" s="4" t="str">
        <x:v>환불완료</x:v>
      </x:c>
      <x:c r="D41" s="4" t="str">
        <x:v>공급여행사 환불완료</x:v>
      </x:c>
      <x:c r="E41" s="4" t="str">
        <x:v>판매점 결제상태</x:v>
      </x:c>
      <x:c r="F41" s="4" t="str">
        <x:v>둘 다 환불완료</x:v>
      </x:c>
      <x:c r="G41" s="4" t="str"/>
    </x:row>
    <x:row r="42" ht="48" customHeight="1">
      <x:c r="A42" s="7" t="str">
        <x:v>미확인</x:v>
      </x:c>
      <x:c r="B42" s="4" t="str">
        <x:v>환불</x:v>
      </x:c>
      <x:c r="C42" s="4" t="str">
        <x:v>예약 취소완료</x:v>
      </x:c>
      <x:c r="D42" s="4" t="str">
        <x:v>공급여행사 취소완료</x:v>
      </x:c>
      <x:c r="E42" s="4" t="str">
        <x:v>판매점 취소완료</x:v>
      </x:c>
      <x:c r="F42" s="4" t="str">
        <x:v>동일</x:v>
      </x:c>
      <x:c r="G42" s="4" t="str"/>
    </x:row>
    <x:row r="43" ht="48" customHeight="1">
      <x:c r="A43" s="7" t="str">
        <x:v>미확인</x:v>
      </x:c>
      <x:c r="B43" s="4" t="str">
        <x:v>환불</x:v>
      </x:c>
      <x:c r="C43" s="4" t="str">
        <x:v>환불실패</x:v>
      </x:c>
      <x:c r="D43" s="4" t="str">
        <x:v>취소승인 유지</x:v>
      </x:c>
      <x:c r="E43" s="4" t="str">
        <x:v>판매점 처리중</x:v>
      </x:c>
      <x:c r="F43" s="4" t="str">
        <x:v>취소완료 되면 안 됨</x:v>
      </x:c>
      <x:c r="G43" s="4" t="str"/>
    </x:row>
    <x:row r="44" ht="48" customHeight="1">
      <x:c r="A44" s="7" t="str">
        <x:v>미확인</x:v>
      </x:c>
      <x:c r="B44" s="4" t="str">
        <x:v>환불</x:v>
      </x:c>
      <x:c r="C44" s="4" t="str">
        <x:v>미결제 취소</x:v>
      </x:c>
      <x:c r="D44" s="4" t="str">
        <x:v>환불 없이 취소완료</x:v>
      </x:c>
      <x:c r="E44" s="4" t="str">
        <x:v>미결제 + 취소완료</x:v>
      </x:c>
      <x:c r="F44" s="4" t="str">
        <x:v>정상</x:v>
      </x:c>
      <x:c r="G44" s="4" t="str"/>
    </x:row>
    <x:row r="45" ht="48" customHeight="1">
      <x:c r="A45" s="7" t="str">
        <x:v>미확인</x:v>
      </x:c>
      <x:c r="B45" s="4" t="str">
        <x:v>인보이스</x:v>
      </x:c>
      <x:c r="C45" s="4" t="str">
        <x:v>인보이스 목록</x:v>
      </x:c>
      <x:c r="D45" s="4" t="str">
        <x:v>예약/환불 데이터 기준</x:v>
      </x:c>
      <x:c r="E45" s="4" t="str">
        <x:v>/seller/invoices</x:v>
      </x:c>
      <x:c r="F45" s="4" t="str">
        <x:v>데이터 일치</x:v>
      </x:c>
      <x:c r="G45" s="4" t="str"/>
    </x:row>
    <x:row r="46" ht="48" customHeight="1">
      <x:c r="A46" s="7" t="str">
        <x:v>미확인</x:v>
      </x:c>
      <x:c r="B46" s="4" t="str">
        <x:v>인보이스</x:v>
      </x:c>
      <x:c r="C46" s="4" t="str">
        <x:v>인보이스번호</x:v>
      </x:c>
      <x:c r="D46" s="4" t="str">
        <x:v>예: INV-20261012-001</x:v>
      </x:c>
      <x:c r="E46" s="4" t="str">
        <x:v>동일</x:v>
      </x:c>
      <x:c r="F46" s="4" t="str">
        <x:v>동일</x:v>
      </x:c>
      <x:c r="G46" s="4" t="str"/>
    </x:row>
    <x:row r="47" ht="48" customHeight="1">
      <x:c r="A47" s="7" t="str">
        <x:v>미확인</x:v>
      </x:c>
      <x:c r="B47" s="4" t="str">
        <x:v>인보이스</x:v>
      </x:c>
      <x:c r="C47" s="4" t="str">
        <x:v>취소요청 상태</x:v>
      </x:c>
      <x:c r="D47" s="4" t="str">
        <x:v>아직 정상</x:v>
      </x:c>
      <x:c r="E47" s="4" t="str">
        <x:v>정상 + 취소검토중</x:v>
      </x:c>
      <x:c r="F47" s="4" t="str">
        <x:v>정상</x:v>
      </x:c>
      <x:c r="G47" s="4" t="str"/>
    </x:row>
    <x:row r="48" ht="48" customHeight="1">
      <x:c r="A48" s="7" t="str">
        <x:v>미확인</x:v>
      </x:c>
      <x:c r="B48" s="4" t="str">
        <x:v>인보이스</x:v>
      </x:c>
      <x:c r="C48" s="4" t="str">
        <x:v>취소승인 상태</x:v>
      </x:c>
      <x:c r="D48" s="4" t="str">
        <x:v>환불처리 전</x:v>
      </x:c>
      <x:c r="E48" s="4" t="str">
        <x:v>재발행 필요</x:v>
      </x:c>
      <x:c r="F48" s="4" t="str">
        <x:v>정상</x:v>
      </x:c>
      <x:c r="G48" s="4" t="str"/>
    </x:row>
    <x:row r="49" ht="48" customHeight="1">
      <x:c r="A49" s="7" t="str">
        <x:v>미확인</x:v>
      </x:c>
      <x:c r="B49" s="4" t="str">
        <x:v>인보이스</x:v>
      </x:c>
      <x:c r="C49" s="4" t="str">
        <x:v>취소완료 후</x:v>
      </x:c>
      <x:c r="D49" s="4" t="str">
        <x:v>환불완료</x:v>
      </x:c>
      <x:c r="E49" s="4" t="str">
        <x:v>재발행 가능</x:v>
      </x:c>
      <x:c r="F49" s="4" t="str">
        <x:v>정상</x:v>
      </x:c>
      <x:c r="G49" s="4" t="str"/>
    </x:row>
    <x:row r="50" ht="48" customHeight="1">
      <x:c r="A50" s="7" t="str">
        <x:v>미확인</x:v>
      </x:c>
      <x:c r="B50" s="4" t="str">
        <x:v>인보이스</x:v>
      </x:c>
      <x:c r="C50" s="4" t="str">
        <x:v>v1 금액</x:v>
      </x:c>
      <x:c r="D50" s="4" t="str">
        <x:v>130,000원</x:v>
      </x:c>
      <x:c r="E50" s="4" t="str">
        <x:v>130,000원</x:v>
      </x:c>
      <x:c r="F50" s="4" t="str">
        <x:v>Snapshot 유지</x:v>
      </x:c>
      <x:c r="G50" s="4" t="str"/>
    </x:row>
    <x:row r="51" ht="48" customHeight="1">
      <x:c r="A51" s="7" t="str">
        <x:v>미확인</x:v>
      </x:c>
      <x:c r="B51" s="4" t="str">
        <x:v>인보이스</x:v>
      </x:c>
      <x:c r="C51" s="4" t="str">
        <x:v>v2 금액</x:v>
      </x:c>
      <x:c r="D51" s="4" t="str">
        <x:v>취소수수료 반영</x:v>
      </x:c>
      <x:c r="E51" s="4" t="str">
        <x:v>예: 13,000원</x:v>
      </x:c>
      <x:c r="F51" s="4" t="str">
        <x:v>계산 정상</x:v>
      </x:c>
      <x:c r="G51" s="4" t="str"/>
    </x:row>
    <x:row r="52" ht="48" customHeight="1">
      <x:c r="A52" s="7" t="str">
        <x:v>미확인</x:v>
      </x:c>
      <x:c r="B52" s="4" t="str">
        <x:v>인보이스</x:v>
      </x:c>
      <x:c r="C52" s="4" t="str">
        <x:v>Version</x:v>
      </x:c>
      <x:c r="D52" s="4" t="str">
        <x:v>v1 → v2</x:v>
      </x:c>
      <x:c r="E52" s="4" t="str">
        <x:v>현재 v2</x:v>
      </x:c>
      <x:c r="F52" s="4" t="str">
        <x:v>v1 삭제 금지</x:v>
      </x:c>
      <x:c r="G52" s="4" t="str"/>
    </x:row>
    <x:row r="53" ht="48" customHeight="1">
      <x:c r="A53" s="7" t="str">
        <x:v>미확인</x:v>
      </x:c>
      <x:c r="B53" s="4" t="str">
        <x:v>인보이스</x:v>
      </x:c>
      <x:c r="C53" s="4" t="str">
        <x:v>과거 Version</x:v>
      </x:c>
      <x:c r="D53" s="4" t="str">
        <x:v>v1 무효</x:v>
      </x:c>
      <x:c r="E53" s="4" t="str">
        <x:v>v1 무효</x:v>
      </x:c>
      <x:c r="F53" s="4" t="str">
        <x:v>발송 불가</x:v>
      </x:c>
      <x:c r="G53" s="4" t="str"/>
    </x:row>
    <x:row r="54" ht="48" customHeight="1">
      <x:c r="A54" s="7" t="str">
        <x:v>미확인</x:v>
      </x:c>
      <x:c r="B54" s="4" t="str">
        <x:v>인보이스</x:v>
      </x:c>
      <x:c r="C54" s="4" t="str">
        <x:v>최신 Version</x:v>
      </x:c>
      <x:c r="D54" s="4" t="str">
        <x:v>v2 current</x:v>
      </x:c>
      <x:c r="E54" s="4" t="str">
        <x:v>v2 current</x:v>
      </x:c>
      <x:c r="F54" s="4" t="str">
        <x:v>현재 유효 1개</x:v>
      </x:c>
      <x:c r="G54" s="4" t="str"/>
    </x:row>
    <x:row r="55" ht="48" customHeight="1">
      <x:c r="A55" s="7" t="str">
        <x:v>미확인</x:v>
      </x:c>
      <x:c r="B55" s="4" t="str">
        <x:v>정산</x:v>
      </x:c>
      <x:c r="C55" s="4" t="str">
        <x:v>정산번호</x:v>
      </x:c>
      <x:c r="D55" s="4" t="str">
        <x:v>공급여행사 정산관리</x:v>
      </x:c>
      <x:c r="E55" s="4" t="str">
        <x:v>/seller/settlements</x:v>
      </x:c>
      <x:c r="F55" s="4" t="str">
        <x:v>동일</x:v>
      </x:c>
      <x:c r="G55" s="4" t="str"/>
    </x:row>
    <x:row r="56" ht="48" customHeight="1">
      <x:c r="A56" s="7" t="str">
        <x:v>미확인</x:v>
      </x:c>
      <x:c r="B56" s="4" t="str">
        <x:v>정산</x:v>
      </x:c>
      <x:c r="C56" s="4" t="str">
        <x:v>공급여행사별 분리</x:v>
      </x:c>
      <x:c r="D56" s="4" t="str">
        <x:v>행복/현담 별도</x:v>
      </x:c>
      <x:c r="E56" s="4" t="str">
        <x:v>행복/현담 별도</x:v>
      </x:c>
      <x:c r="F56" s="4" t="str">
        <x:v>합쳐지면 안 됨</x:v>
      </x:c>
      <x:c r="G56" s="4" t="str"/>
    </x:row>
    <x:row r="57" ht="48" customHeight="1">
      <x:c r="A57" s="7" t="str">
        <x:v>미확인</x:v>
      </x:c>
      <x:c r="B57" s="4" t="str">
        <x:v>정산</x:v>
      </x:c>
      <x:c r="C57" s="4" t="str">
        <x:v>정산 원금</x:v>
      </x:c>
      <x:c r="D57" s="4" t="str">
        <x:v>예: 3,850,000원</x:v>
      </x:c>
      <x:c r="E57" s="4" t="str">
        <x:v>동일</x:v>
      </x:c>
      <x:c r="F57" s="4" t="str">
        <x:v>동일</x:v>
      </x:c>
      <x:c r="G57" s="4" t="str"/>
    </x:row>
    <x:row r="58" ht="48" customHeight="1">
      <x:c r="A58" s="7" t="str">
        <x:v>미확인</x:v>
      </x:c>
      <x:c r="B58" s="4" t="str">
        <x:v>정산</x:v>
      </x:c>
      <x:c r="C58" s="4" t="str">
        <x:v>취소조정</x:v>
      </x:c>
      <x:c r="D58" s="4" t="str">
        <x:v>-20,000원</x:v>
      </x:c>
      <x:c r="E58" s="4" t="str">
        <x:v>동일</x:v>
      </x:c>
      <x:c r="F58" s="4" t="str">
        <x:v>동일</x:v>
      </x:c>
      <x:c r="G58" s="4" t="str"/>
    </x:row>
    <x:row r="59" ht="48" customHeight="1">
      <x:c r="A59" s="7" t="str">
        <x:v>미확인</x:v>
      </x:c>
      <x:c r="B59" s="4" t="str">
        <x:v>정산</x:v>
      </x:c>
      <x:c r="C59" s="4" t="str">
        <x:v>최종 정산금액</x:v>
      </x:c>
      <x:c r="D59" s="4" t="str">
        <x:v>3,830,000원</x:v>
      </x:c>
      <x:c r="E59" s="4" t="str">
        <x:v>동일</x:v>
      </x:c>
      <x:c r="F59" s="4" t="str">
        <x:v>동일</x:v>
      </x:c>
      <x:c r="G59" s="4" t="str"/>
    </x:row>
    <x:row r="60" ht="48" customHeight="1">
      <x:c r="A60" s="7" t="str">
        <x:v>미확인</x:v>
      </x:c>
      <x:c r="B60" s="4" t="str">
        <x:v>정산</x:v>
      </x:c>
      <x:c r="C60" s="4" t="str">
        <x:v>취소정산 기준</x:v>
      </x:c>
      <x:c r="D60" s="4" t="str">
        <x:v>판매점 수익 차감</x:v>
      </x:c>
      <x:c r="E60" s="4" t="str">
        <x:v>동일</x:v>
      </x:c>
      <x:c r="F60" s="4" t="str">
        <x:v>환불금액 기준 금지</x:v>
      </x:c>
      <x:c r="G60" s="4" t="str"/>
    </x:row>
    <x:row r="61" ht="48" customHeight="1">
      <x:c r="A61" s="7" t="str">
        <x:v>미확인</x:v>
      </x:c>
      <x:c r="B61" s="4" t="str">
        <x:v>정산</x:v>
      </x:c>
      <x:c r="C61" s="4" t="str">
        <x:v>정산확정 후 취소</x:v>
      </x:c>
      <x:c r="D61" s="4" t="str">
        <x:v>수정필요</x:v>
      </x:c>
      <x:c r="E61" s="4" t="str">
        <x:v>수정필요</x:v>
      </x:c>
      <x:c r="F61" s="4" t="str">
        <x:v>양쪽 동일</x:v>
      </x:c>
      <x:c r="G61" s="4" t="str"/>
    </x:row>
    <x:row r="62" ht="48" customHeight="1">
      <x:c r="A62" s="7" t="str">
        <x:v>미확인</x:v>
      </x:c>
      <x:c r="B62" s="4" t="str">
        <x:v>정산</x:v>
      </x:c>
      <x:c r="C62" s="4" t="str">
        <x:v>정산서 재발행</x:v>
      </x:c>
      <x:c r="D62" s="4" t="str">
        <x:v>v1 → v2</x:v>
      </x:c>
      <x:c r="E62" s="4" t="str">
        <x:v>v2 확인</x:v>
      </x:c>
      <x:c r="F62" s="4" t="str">
        <x:v>동일</x:v>
      </x:c>
      <x:c r="G62" s="4" t="str"/>
    </x:row>
    <x:row r="63" ht="48" customHeight="1">
      <x:c r="A63" s="7" t="str">
        <x:v>미확인</x:v>
      </x:c>
      <x:c r="B63" s="4" t="str">
        <x:v>정산</x:v>
      </x:c>
      <x:c r="C63" s="4" t="str">
        <x:v>재확인대기</x:v>
      </x:c>
      <x:c r="D63" s="4" t="str">
        <x:v>공급측 재발행 후</x:v>
      </x:c>
      <x:c r="E63" s="4" t="str">
        <x:v>정산 확인 버튼</x:v>
      </x:c>
      <x:c r="F63" s="4" t="str">
        <x:v>정상</x:v>
      </x:c>
      <x:c r="G63" s="4" t="str"/>
    </x:row>
    <x:row r="64" ht="48" customHeight="1">
      <x:c r="A64" s="7" t="str">
        <x:v>미확인</x:v>
      </x:c>
      <x:c r="B64" s="4" t="str">
        <x:v>정산</x:v>
      </x:c>
      <x:c r="C64" s="4" t="str">
        <x:v>판매점 재확인</x:v>
      </x:c>
      <x:c r="D64" s="4" t="str">
        <x:v>공급측 상태 확인</x:v>
      </x:c>
      <x:c r="E64" s="4" t="str">
        <x:v>판매점에서 확인</x:v>
      </x:c>
      <x:c r="F64" s="4" t="str">
        <x:v>양쪽 정산확정</x:v>
      </x:c>
      <x:c r="G64" s="4" t="str"/>
    </x:row>
    <x:row r="65" ht="48" customHeight="1">
      <x:c r="A65" s="7" t="str">
        <x:v>미확인</x:v>
      </x:c>
      <x:c r="B65" s="4" t="str">
        <x:v>지급</x:v>
      </x:c>
      <x:c r="C65" s="4" t="str">
        <x:v>지급처리 권한</x:v>
      </x:c>
      <x:c r="D65" s="4" t="str">
        <x:v>공급여행사만</x:v>
      </x:c>
      <x:c r="E65" s="4" t="str">
        <x:v>버튼 없음</x:v>
      </x:c>
      <x:c r="F65" s="4" t="str">
        <x:v>권한 정상</x:v>
      </x:c>
      <x:c r="G65" s="4" t="str"/>
    </x:row>
    <x:row r="66" ht="48" customHeight="1">
      <x:c r="A66" s="7" t="str">
        <x:v>미확인</x:v>
      </x:c>
      <x:c r="B66" s="4" t="str">
        <x:v>지급</x:v>
      </x:c>
      <x:c r="C66" s="4" t="str">
        <x:v>지급금액</x:v>
      </x:c>
      <x:c r="D66" s="4" t="str">
        <x:v>3,830,000원</x:v>
      </x:c>
      <x:c r="E66" s="4" t="str">
        <x:v>동일</x:v>
      </x:c>
      <x:c r="F66" s="4" t="str">
        <x:v>정산금액과 동일</x:v>
      </x:c>
      <x:c r="G66" s="4" t="str"/>
    </x:row>
    <x:row r="67" ht="48" customHeight="1">
      <x:c r="A67" s="7" t="str">
        <x:v>미확인</x:v>
      </x:c>
      <x:c r="B67" s="4" t="str">
        <x:v>지급</x:v>
      </x:c>
      <x:c r="C67" s="4" t="str">
        <x:v>지급완료</x:v>
      </x:c>
      <x:c r="D67" s="4" t="str">
        <x:v>공급측 지급완료</x:v>
      </x:c>
      <x:c r="E67" s="4" t="str">
        <x:v>판매점 지급완료</x:v>
      </x:c>
      <x:c r="F67" s="4" t="str">
        <x:v>동일</x:v>
      </x:c>
      <x:c r="G67" s="4" t="str"/>
    </x:row>
    <x:row r="68" ht="48" customHeight="1">
      <x:c r="A68" s="7" t="str">
        <x:v>미확인</x:v>
      </x:c>
      <x:c r="B68" s="4" t="str">
        <x:v>지급</x:v>
      </x:c>
      <x:c r="C68" s="4" t="str">
        <x:v>지급기준 정산서</x:v>
      </x:c>
      <x:c r="D68" s="4" t="str">
        <x:v>v2</x:v>
      </x:c>
      <x:c r="E68" s="4" t="str">
        <x:v>v2</x:v>
      </x:c>
      <x:c r="F68" s="4" t="str">
        <x:v>동일</x:v>
      </x:c>
      <x:c r="G68" s="4" t="str"/>
    </x:row>
    <x:row r="69" ht="48" customHeight="1">
      <x:c r="A69" s="7" t="str">
        <x:v>미확인</x:v>
      </x:c>
      <x:c r="B69" s="4" t="str">
        <x:v>지급</x:v>
      </x:c>
      <x:c r="C69" s="4" t="str">
        <x:v>지급완료 후 수정</x:v>
      </x:c>
      <x:c r="D69" s="4" t="str">
        <x:v>수정 불가</x:v>
      </x:c>
      <x:c r="E69" s="4" t="str">
        <x:v>조회만</x:v>
      </x:c>
      <x:c r="F69" s="4" t="str">
        <x:v>Lock 정상</x:v>
      </x:c>
      <x:c r="G69" s="4" t="str"/>
    </x:row>
    <x:row r="70" ht="48" customHeight="1">
      <x:c r="A70" s="7" t="str">
        <x:v>미확인</x:v>
      </x:c>
      <x:c r="B70" s="4" t="str">
        <x:v>차기정산</x:v>
      </x:c>
      <x:c r="C70" s="4" t="str">
        <x:v>지급 후 취소</x:v>
      </x:c>
      <x:c r="D70" s="4" t="str">
        <x:v>기존 지급금액 유지</x:v>
      </x:c>
      <x:c r="E70" s="4" t="str">
        <x:v>동일</x:v>
      </x:c>
      <x:c r="F70" s="4" t="str">
        <x:v>과거 지급 수정 금지</x:v>
      </x:c>
      <x:c r="G70" s="4" t="str"/>
    </x:row>
    <x:row r="71" ht="48" customHeight="1">
      <x:c r="A71" s="7" t="str">
        <x:v>미확인</x:v>
      </x:c>
      <x:c r="B71" s="4" t="str">
        <x:v>차기정산</x:v>
      </x:c>
      <x:c r="C71" s="4" t="str">
        <x:v>조정금액</x:v>
      </x:c>
      <x:c r="D71" s="4" t="str">
        <x:v>-20,000원</x:v>
      </x:c>
      <x:c r="E71" s="4" t="str">
        <x:v>-20,000원</x:v>
      </x:c>
      <x:c r="F71" s="4" t="str">
        <x:v>동일</x:v>
      </x:c>
      <x:c r="G71" s="4" t="str"/>
    </x:row>
    <x:row r="72" ht="48" customHeight="1">
      <x:c r="A72" s="7" t="str">
        <x:v>미확인</x:v>
      </x:c>
      <x:c r="B72" s="4" t="str">
        <x:v>차기정산</x:v>
      </x:c>
      <x:c r="C72" s="4" t="str">
        <x:v>다음 정산 반영</x:v>
      </x:c>
      <x:c r="D72" s="4" t="str">
        <x:v>다음 정산에 차감</x:v>
      </x:c>
      <x:c r="E72" s="4" t="str">
        <x:v>동일</x:v>
      </x:c>
      <x:c r="F72" s="4" t="str">
        <x:v>1회만 반영</x:v>
      </x:c>
      <x:c r="G72" s="4" t="str"/>
    </x:row>
    <x:row r="73" ht="48" customHeight="1">
      <x:c r="A73" s="7" t="str">
        <x:v>미확인</x:v>
      </x:c>
      <x:c r="B73" s="4" t="str">
        <x:v>격리</x:v>
      </x:c>
      <x:c r="C73" s="4" t="str">
        <x:v>행복투어 관리자</x:v>
      </x:c>
      <x:c r="D73" s="4" t="str">
        <x:v>현담 데이터 안 보임</x:v>
      </x:c>
      <x:c r="E73" s="4" t="str">
        <x:v>-</x:v>
      </x:c>
      <x:c r="F73" s="4" t="str">
        <x:v>정보격리 정상</x:v>
      </x:c>
      <x:c r="G73" s="4" t="str"/>
    </x:row>
    <x:row r="74" ht="48" customHeight="1">
      <x:c r="A74" s="7" t="str">
        <x:v>미확인</x:v>
      </x:c>
      <x:c r="B74" s="4" t="str">
        <x:v>격리</x:v>
      </x:c>
      <x:c r="C74" s="4" t="str">
        <x:v>판매점 그래가자</x:v>
      </x:c>
      <x:c r="D74" s="4" t="str">
        <x:v>행복+현담 둘 다 확인</x:v>
      </x:c>
      <x:c r="E74" s="4" t="str">
        <x:v>판매점 관리자</x:v>
      </x:c>
      <x:c r="F74" s="4" t="str">
        <x:v>정상</x:v>
      </x:c>
      <x:c r="G74" s="4" t="str"/>
    </x:row>
    <x:row r="75" ht="48" customHeight="1">
      <x:c r="A75" s="7" t="str">
        <x:v>미확인</x:v>
      </x:c>
      <x:c r="B75" s="4" t="str">
        <x:v>권한</x:v>
      </x:c>
      <x:c r="C75" s="4" t="str">
        <x:v>판매점</x:v>
      </x:c>
      <x:c r="D75" s="4" t="str">
        <x:v>입금가/수수료 수정 불가</x:v>
      </x:c>
      <x:c r="E75" s="4" t="str">
        <x:v>확인</x:v>
      </x:c>
      <x:c r="F75" s="4" t="str">
        <x:v>정상</x:v>
      </x:c>
      <x:c r="G75" s="4" t="str"/>
    </x:row>
    <x:row r="76" ht="48" customHeight="1">
      <x:c r="A76" s="7" t="str">
        <x:v>미확인</x:v>
      </x:c>
      <x:c r="B76" s="4" t="str">
        <x:v>권한</x:v>
      </x:c>
      <x:c r="C76" s="4" t="str">
        <x:v>판매점</x:v>
      </x:c>
      <x:c r="D76" s="4" t="str">
        <x:v>취소승인/환불/지급 불가</x:v>
      </x:c>
      <x:c r="E76" s="4" t="str">
        <x:v>확인</x:v>
      </x:c>
      <x:c r="F76" s="4" t="str">
        <x:v>정상</x:v>
      </x:c>
      <x:c r="G76" s="4" t="str"/>
    </x:row>
    <x:row r="77" ht="48" customHeight="1">
      <x:c r="A77" s="7" t="str">
        <x:v>미확인</x:v>
      </x:c>
      <x:c r="B77" s="4" t="str">
        <x:v>권한</x:v>
      </x:c>
      <x:c r="C77" s="4" t="str">
        <x:v>공급여행사</x:v>
      </x:c>
      <x:c r="D77" s="4" t="str">
        <x:v>판매점 판매가 수정 불가</x:v>
      </x:c>
      <x:c r="E77" s="4" t="str">
        <x:v>확인</x:v>
      </x:c>
      <x:c r="F77" s="4" t="str">
        <x:v>정상</x:v>
      </x:c>
      <x:c r="G77" s="4" t="str"/>
    </x:row>
    <x:row r="78" ht="75" customHeight="1">
      <x:c r="A78" s="7" t="str">
        <x:v>미확인</x:v>
      </x:c>
      <x:c r="B78" s="4" t="str">
        <x:v>화면접속</x:v>
      </x:c>
      <x:c r="C78" s="4" t="str">
        <x:v>판매점 주요 화면 6종 접속</x:v>
      </x:c>
      <x:c r="D78" s="4" t="str">
        <x:v>-</x:v>
      </x:c>
      <x:c r="E78" s="4" t="str">
        <x:v>대시보드 / 공급여행사 / 판매상품 / 예약 / 인보이스 / 정산</x:v>
      </x:c>
      <x:c r="F78" s="4" t="str">
        <x:v>각 화면 정상 표시, 메뉴 이동 및 직접 접속 정상</x:v>
      </x:c>
      <x:c r="G78" s="4" t="str">
        <x:v>사이트경로 시트의 각 URL로 확인</x:v>
      </x:c>
    </x:row>
    <x:row r="79" ht="48" customHeight="1">
      <x:c r="A79" s="7" t="str">
        <x:v>미확인</x:v>
      </x:c>
      <x:c r="B79" s="4" t="str">
        <x:v>QA</x:v>
      </x:c>
      <x:c r="C79" s="4" t="str">
        <x:v>Console</x:v>
      </x:c>
      <x:c r="D79" s="4" t="str">
        <x:v>양쪽 관리자</x:v>
      </x:c>
      <x:c r="E79" s="4" t="str">
        <x:v>양쪽 관리자</x:v>
      </x:c>
      <x:c r="F79" s="4" t="str">
        <x:v>Error/Warning 0</x:v>
      </x:c>
      <x:c r="G79" s="4" t="str"/>
    </x:row>
    <x:row r="80" ht="48" customHeight="1">
      <x:c r="A80" s="7" t="str">
        <x:v>미확인</x:v>
      </x:c>
      <x:c r="B80" s="4" t="str">
        <x:v>QA</x:v>
      </x:c>
      <x:c r="C80" s="4" t="str">
        <x:v>TypeScript</x:v>
      </x:c>
      <x:c r="D80" s="4" t="str">
        <x:v>프로젝트</x:v>
      </x:c>
      <x:c r="E80" s="4" t="str">
        <x:v>프로젝트</x:v>
      </x:c>
      <x:c r="F80" s="4" t="str">
        <x:v>npx tsc --noEmit 통과</x:v>
      </x:c>
      <x:c r="G80" s="4" t="str"/>
    </x:row>
    <x:row r="81" ht="48" customHeight="1">
      <x:c r="A81" s="7" t="str">
        <x:v>미확인</x:v>
      </x:c>
      <x:c r="B81" s="4" t="str">
        <x:v>QA</x:v>
      </x:c>
      <x:c r="C81" s="4" t="str">
        <x:v>Mobile</x:v>
      </x:c>
      <x:c r="D81" s="4" t="str">
        <x:v>주요 화면</x:v>
      </x:c>
      <x:c r="E81" s="4" t="str">
        <x:v>주요 화면</x:v>
      </x:c>
      <x:c r="F81" s="4" t="str">
        <x:v>버튼/금액 잘림 없음</x:v>
      </x:c>
      <x:c r="G81" s="4" t="str"/>
    </x:row>
  </x:sheetData>
  <x:conditionalFormatting sqref="A2:A81">
    <x:cfRule type="cellIs" dxfId="0" priority="1" operator="equal">
      <x:formula>"정상"</x:formula>
    </x:cfRule>
    <x:cfRule type="cellIs" dxfId="1" priority="2" operator="equal">
      <x:formula>"오류"</x:formula>
    </x:cfRule>
    <x:cfRule type="cellIs" dxfId="2" priority="3" operator="equal">
      <x:formula>"보류"</x:formula>
    </x:cfRule>
    <x:cfRule type="cellIs" dxfId="3" priority="4" operator="equal">
      <x:formula>"미확인"</x:formula>
    </x:cfRule>
  </x:conditionalFormatting>
  <x:dataValidations count="1">
    <x:dataValidation type="list" sqref="A2:A81">
      <x:formula1>"미확인,정상,오류,보류"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65e9afddc94962"/>
  </x:tableParts>
</x:worksheet>
</file>